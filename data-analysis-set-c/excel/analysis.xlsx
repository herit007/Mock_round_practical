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<sst xmlns="http://schemas.openxmlformats.org/spreadsheetml/2006/main" count="130" uniqueCount="40">
  <si>
    <t xml:space="preserve">assessment_id</t>
  </si>
  <si>
    <t xml:space="preserve">month</t>
  </si>
  <si>
    <t xml:space="preserve">course_id</t>
  </si>
  <si>
    <t xml:space="preserve">batch</t>
  </si>
  <si>
    <t xml:space="preserve">score</t>
  </si>
  <si>
    <t xml:space="preserve">attendance_pct</t>
  </si>
  <si>
    <t xml:space="preserve">Raw row count (before cleaning)</t>
  </si>
  <si>
    <t xml:space="preserve">Jan</t>
  </si>
  <si>
    <t xml:space="preserve">C1</t>
  </si>
  <si>
    <t xml:space="preserve">Morning</t>
  </si>
  <si>
    <t xml:space="preserve">Original 13 rows unchanged. Row 14 (assessment_id 12) is the exact duplicate.</t>
  </si>
  <si>
    <t xml:space="preserve">C2</t>
  </si>
  <si>
    <t xml:space="preserve">Evening</t>
  </si>
  <si>
    <t xml:space="preserve">C3</t>
  </si>
  <si>
    <t xml:space="preserve">C4</t>
  </si>
  <si>
    <t xml:space="preserve">Weekend</t>
  </si>
  <si>
    <t xml:space="preserve">Feb</t>
  </si>
  <si>
    <t xml:space="preserve">Mar</t>
  </si>
  <si>
    <t xml:space="preserve">course</t>
  </si>
  <si>
    <t xml:space="preserve">department</t>
  </si>
  <si>
    <t xml:space="preserve">Excel</t>
  </si>
  <si>
    <t xml:space="preserve">Business</t>
  </si>
  <si>
    <t xml:space="preserve">PowerBI</t>
  </si>
  <si>
    <t xml:space="preserve">SQL</t>
  </si>
  <si>
    <t xml:space="preserve">Technology</t>
  </si>
  <si>
    <t xml:space="preserve">Python</t>
  </si>
  <si>
    <t xml:space="preserve">pass_flag</t>
  </si>
  <si>
    <t xml:space="preserve">Before row count (Raw)</t>
  </si>
  <si>
    <t xml:space="preserve">After row count (Clean)</t>
  </si>
  <si>
    <t xml:space="preserve">Duplicates removed</t>
  </si>
  <si>
    <t xml:space="preserve">department = INDEX/MATCH on Lookup (course_id); pass_flag = IF(score&gt;=50,1,0)</t>
  </si>
  <si>
    <t xml:space="preserve">Training Performance - Summary</t>
  </si>
  <si>
    <t xml:space="preserve">E2: Passing assessments by batch (COUNTIFS on pass_flag = 1)</t>
  </si>
  <si>
    <t xml:space="preserve">passing_assessments</t>
  </si>
  <si>
    <t xml:space="preserve">Overall pass rate</t>
  </si>
  <si>
    <t xml:space="preserve">Total</t>
  </si>
  <si>
    <t xml:space="preserve">E3: Average score, department x month (live AVERAGEIFS table, same layout as PivotTable)</t>
  </si>
  <si>
    <t xml:space="preserve">Grand Total</t>
  </si>
  <si>
    <t xml:space="preserve">Reconciliation: Technology Grand Total (E14) = SQL S2a = Python summary = Power BI card = 56.00</t>
  </si>
  <si>
    <t xml:space="preserve">REAL PIVOT: Insert &gt; PivotTable on Clean!A1:H13, place at G3 here. Rows=department, Columns=month (order Jan, Feb, Mar), Values=Average of score.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</si>
</sst>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%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Score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Summary!$B$13:$B$14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</c:ser>
        <c:ser>
          <c:idx val="1"/>
          <c:order val="1"/>
          <c:tx>
            <c:strRef>
              <c:f>Summary!C12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Summary!$C$13:$C$14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</c:ser>
        <c:ser>
          <c:idx val="2"/>
          <c:order val="2"/>
          <c:tx>
            <c:strRef>
              <c:f>Summary!D12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Summary!$D$13:$D$14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</c:ser>
        <c:gapWidth val="150"/>
        <c:overlap val="0"/>
        <c:axId val="41870359"/>
        <c:axId val="21497175"/>
      </c:barChart>
      <c:catAx>
        <c:axId val="41870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97175"/>
        <c:crosses val="autoZero"/>
        <c:auto val="1"/>
        <c:lblAlgn val="ctr"/>
        <c:lblOffset val="100"/>
        <c:noMultiLvlLbl val="0"/>
      </c:catAx>
      <c:valAx>
        <c:axId val="21497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70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160560</xdr:rowOff>
    </xdr:from>
    <xdr:to>
      <xdr:col>3</xdr:col>
      <xdr:colOff>747720</xdr:colOff>
      <xdr:row>34</xdr:row>
      <xdr:rowOff>172080</xdr:rowOff>
    </xdr:to>
    <xdr:graphicFrame>
      <xdr:nvGraphicFramePr>
        <xdr:cNvPr id="0" name="Chart 1"/>
        <xdr:cNvGraphicFramePr/>
      </xdr:nvGraphicFramePr>
      <xdr:xfrm>
        <a:off x="0" y="3619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8" min="8" style="0" width="36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 t="n">
        <f aca="false">COUNTA(A2:A14)</f>
        <v>13</v>
      </c>
    </row>
    <row r="2" customFormat="false" ht="15" hidden="false" customHeight="false" outlineLevel="0" collapsed="false">
      <c r="A2" s="4" t="n">
        <v>1</v>
      </c>
      <c r="B2" s="4" t="s">
        <v>7</v>
      </c>
      <c r="C2" s="4" t="s">
        <v>8</v>
      </c>
      <c r="D2" s="4" t="s">
        <v>9</v>
      </c>
      <c r="E2" s="4" t="n">
        <v>72</v>
      </c>
      <c r="F2" s="4" t="n">
        <v>90</v>
      </c>
      <c r="H2" s="5" t="s">
        <v>10</v>
      </c>
    </row>
    <row r="3" customFormat="false" ht="15" hidden="false" customHeight="false" outlineLevel="0" collapsed="false">
      <c r="A3" s="4" t="n">
        <v>2</v>
      </c>
      <c r="B3" s="4" t="s">
        <v>7</v>
      </c>
      <c r="C3" s="4" t="s">
        <v>11</v>
      </c>
      <c r="D3" s="4" t="s">
        <v>12</v>
      </c>
      <c r="E3" s="4" t="n">
        <v>45</v>
      </c>
      <c r="F3" s="4" t="n">
        <v>70</v>
      </c>
    </row>
    <row r="4" customFormat="false" ht="15" hidden="false" customHeight="false" outlineLevel="0" collapsed="false">
      <c r="A4" s="4" t="n">
        <v>3</v>
      </c>
      <c r="B4" s="4" t="s">
        <v>7</v>
      </c>
      <c r="C4" s="4" t="s">
        <v>13</v>
      </c>
      <c r="D4" s="4" t="s">
        <v>9</v>
      </c>
      <c r="E4" s="4" t="n">
        <v>65</v>
      </c>
      <c r="F4" s="4" t="n">
        <v>85</v>
      </c>
    </row>
    <row r="5" customFormat="false" ht="15" hidden="false" customHeight="false" outlineLevel="0" collapsed="false">
      <c r="A5" s="4" t="n">
        <v>4</v>
      </c>
      <c r="B5" s="4" t="s">
        <v>7</v>
      </c>
      <c r="C5" s="4" t="s">
        <v>14</v>
      </c>
      <c r="D5" s="4" t="s">
        <v>15</v>
      </c>
      <c r="E5" s="4" t="n">
        <v>38</v>
      </c>
      <c r="F5" s="4" t="n">
        <v>60</v>
      </c>
    </row>
    <row r="6" customFormat="false" ht="15" hidden="false" customHeight="false" outlineLevel="0" collapsed="false">
      <c r="A6" s="4" t="n">
        <v>5</v>
      </c>
      <c r="B6" s="4" t="s">
        <v>16</v>
      </c>
      <c r="C6" s="4" t="s">
        <v>8</v>
      </c>
      <c r="D6" s="4" t="s">
        <v>12</v>
      </c>
      <c r="E6" s="4" t="n">
        <v>80</v>
      </c>
      <c r="F6" s="4" t="n">
        <v>95</v>
      </c>
    </row>
    <row r="7" customFormat="false" ht="15" hidden="false" customHeight="false" outlineLevel="0" collapsed="false">
      <c r="A7" s="4" t="n">
        <v>6</v>
      </c>
      <c r="B7" s="4" t="s">
        <v>16</v>
      </c>
      <c r="C7" s="4" t="s">
        <v>11</v>
      </c>
      <c r="D7" s="4" t="s">
        <v>15</v>
      </c>
      <c r="E7" s="4" t="n">
        <v>55</v>
      </c>
      <c r="F7" s="4" t="n">
        <v>80</v>
      </c>
    </row>
    <row r="8" customFormat="false" ht="15" hidden="false" customHeight="false" outlineLevel="0" collapsed="false">
      <c r="A8" s="4" t="n">
        <v>7</v>
      </c>
      <c r="B8" s="4" t="s">
        <v>16</v>
      </c>
      <c r="C8" s="4" t="s">
        <v>13</v>
      </c>
      <c r="D8" s="4" t="s">
        <v>9</v>
      </c>
      <c r="E8" s="4" t="n">
        <v>48</v>
      </c>
      <c r="F8" s="4" t="n">
        <v>75</v>
      </c>
    </row>
    <row r="9" customFormat="false" ht="15" hidden="false" customHeight="false" outlineLevel="0" collapsed="false">
      <c r="A9" s="4" t="n">
        <v>8</v>
      </c>
      <c r="B9" s="4" t="s">
        <v>16</v>
      </c>
      <c r="C9" s="4" t="s">
        <v>14</v>
      </c>
      <c r="D9" s="4" t="s">
        <v>12</v>
      </c>
      <c r="E9" s="4" t="n">
        <v>68</v>
      </c>
      <c r="F9" s="4" t="n">
        <v>88</v>
      </c>
    </row>
    <row r="10" customFormat="false" ht="15" hidden="false" customHeight="false" outlineLevel="0" collapsed="false">
      <c r="A10" s="4" t="n">
        <v>9</v>
      </c>
      <c r="B10" s="4" t="s">
        <v>17</v>
      </c>
      <c r="C10" s="4" t="s">
        <v>8</v>
      </c>
      <c r="D10" s="4" t="s">
        <v>15</v>
      </c>
      <c r="E10" s="4" t="n">
        <v>90</v>
      </c>
      <c r="F10" s="4" t="n">
        <v>98</v>
      </c>
    </row>
    <row r="11" customFormat="false" ht="15" hidden="false" customHeight="false" outlineLevel="0" collapsed="false">
      <c r="A11" s="4" t="n">
        <v>10</v>
      </c>
      <c r="B11" s="4" t="s">
        <v>17</v>
      </c>
      <c r="C11" s="4" t="s">
        <v>11</v>
      </c>
      <c r="D11" s="4" t="s">
        <v>9</v>
      </c>
      <c r="E11" s="4" t="n">
        <v>60</v>
      </c>
      <c r="F11" s="4" t="n">
        <v>82</v>
      </c>
    </row>
    <row r="12" customFormat="false" ht="15" hidden="false" customHeight="false" outlineLevel="0" collapsed="false">
      <c r="A12" s="4" t="n">
        <v>11</v>
      </c>
      <c r="B12" s="4" t="s">
        <v>17</v>
      </c>
      <c r="C12" s="4" t="s">
        <v>13</v>
      </c>
      <c r="D12" s="4" t="s">
        <v>12</v>
      </c>
      <c r="E12" s="4" t="n">
        <v>75</v>
      </c>
      <c r="F12" s="4" t="n">
        <v>92</v>
      </c>
    </row>
    <row r="13" customFormat="false" ht="15" hidden="false" customHeight="false" outlineLevel="0" collapsed="false">
      <c r="A13" s="4" t="n">
        <v>12</v>
      </c>
      <c r="B13" s="4" t="s">
        <v>17</v>
      </c>
      <c r="C13" s="4" t="s">
        <v>14</v>
      </c>
      <c r="D13" s="4" t="s">
        <v>15</v>
      </c>
      <c r="E13" s="4" t="n">
        <v>42</v>
      </c>
      <c r="F13" s="4" t="n">
        <v>65</v>
      </c>
    </row>
    <row r="14" customFormat="false" ht="15" hidden="false" customHeight="false" outlineLevel="0" collapsed="false">
      <c r="A14" s="6" t="n">
        <v>12</v>
      </c>
      <c r="B14" s="4" t="s">
        <v>17</v>
      </c>
      <c r="C14" s="4" t="s">
        <v>14</v>
      </c>
      <c r="D14" s="4" t="s">
        <v>15</v>
      </c>
      <c r="E14" s="4" t="n">
        <v>42</v>
      </c>
      <c r="F14" s="4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2</v>
      </c>
      <c r="B1" s="1" t="s">
        <v>18</v>
      </c>
      <c r="C1" s="1" t="s">
        <v>19</v>
      </c>
    </row>
    <row r="2" customFormat="false" ht="15" hidden="false" customHeight="false" outlineLevel="0" collapsed="false">
      <c r="A2" s="4" t="s">
        <v>8</v>
      </c>
      <c r="B2" s="4" t="s">
        <v>20</v>
      </c>
      <c r="C2" s="4" t="s">
        <v>21</v>
      </c>
    </row>
    <row r="3" customFormat="false" ht="15" hidden="false" customHeight="false" outlineLevel="0" collapsed="false">
      <c r="A3" s="4" t="s">
        <v>11</v>
      </c>
      <c r="B3" s="4" t="s">
        <v>22</v>
      </c>
      <c r="C3" s="4" t="s">
        <v>21</v>
      </c>
    </row>
    <row r="4" customFormat="false" ht="15" hidden="false" customHeight="false" outlineLevel="0" collapsed="false">
      <c r="A4" s="4" t="s">
        <v>13</v>
      </c>
      <c r="B4" s="4" t="s">
        <v>23</v>
      </c>
      <c r="C4" s="4" t="s">
        <v>24</v>
      </c>
    </row>
    <row r="5" customFormat="false" ht="15" hidden="false" customHeight="false" outlineLevel="0" collapsed="false">
      <c r="A5" s="4" t="s">
        <v>14</v>
      </c>
      <c r="B5" s="4" t="s">
        <v>25</v>
      </c>
      <c r="C5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10" style="0" width="26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26</v>
      </c>
      <c r="J1" s="2" t="s">
        <v>27</v>
      </c>
      <c r="K1" s="3" t="n">
        <f aca="false">COUNTA(Raw!A2:A14)</f>
        <v>13</v>
      </c>
    </row>
    <row r="2" customFormat="false" ht="15" hidden="false" customHeight="false" outlineLevel="0" collapsed="false">
      <c r="A2" s="4" t="n">
        <v>1</v>
      </c>
      <c r="B2" s="4" t="s">
        <v>7</v>
      </c>
      <c r="C2" s="4" t="s">
        <v>8</v>
      </c>
      <c r="D2" s="4" t="s">
        <v>9</v>
      </c>
      <c r="E2" s="4" t="n">
        <v>72</v>
      </c>
      <c r="F2" s="4" t="n">
        <v>90</v>
      </c>
      <c r="G2" s="4" t="str">
        <f aca="false">INDEX(Lookup!$C$2:$C$5,MATCH(C2,Lookup!$A$2:$A$5,0))</f>
        <v>Business</v>
      </c>
      <c r="H2" s="4" t="n">
        <f aca="false">IF(E2&gt;=50,1,0)</f>
        <v>1</v>
      </c>
      <c r="J2" s="2" t="s">
        <v>28</v>
      </c>
      <c r="K2" s="3" t="n">
        <f aca="false">COUNTA(A2:A13)</f>
        <v>12</v>
      </c>
    </row>
    <row r="3" customFormat="false" ht="15" hidden="false" customHeight="false" outlineLevel="0" collapsed="false">
      <c r="A3" s="4" t="n">
        <v>2</v>
      </c>
      <c r="B3" s="4" t="s">
        <v>7</v>
      </c>
      <c r="C3" s="4" t="s">
        <v>11</v>
      </c>
      <c r="D3" s="4" t="s">
        <v>12</v>
      </c>
      <c r="E3" s="4" t="n">
        <v>45</v>
      </c>
      <c r="F3" s="4" t="n">
        <v>70</v>
      </c>
      <c r="G3" s="4" t="str">
        <f aca="false">INDEX(Lookup!$C$2:$C$5,MATCH(C3,Lookup!$A$2:$A$5,0))</f>
        <v>Business</v>
      </c>
      <c r="H3" s="4" t="n">
        <f aca="false">IF(E3&gt;=50,1,0)</f>
        <v>0</v>
      </c>
      <c r="J3" s="2" t="s">
        <v>29</v>
      </c>
      <c r="K3" s="3" t="n">
        <f aca="false">K1-K2</f>
        <v>1</v>
      </c>
    </row>
    <row r="4" customFormat="false" ht="15" hidden="false" customHeight="false" outlineLevel="0" collapsed="false">
      <c r="A4" s="4" t="n">
        <v>3</v>
      </c>
      <c r="B4" s="4" t="s">
        <v>7</v>
      </c>
      <c r="C4" s="4" t="s">
        <v>13</v>
      </c>
      <c r="D4" s="4" t="s">
        <v>9</v>
      </c>
      <c r="E4" s="4" t="n">
        <v>65</v>
      </c>
      <c r="F4" s="4" t="n">
        <v>85</v>
      </c>
      <c r="G4" s="4" t="str">
        <f aca="false">INDEX(Lookup!$C$2:$C$5,MATCH(C4,Lookup!$A$2:$A$5,0))</f>
        <v>Technology</v>
      </c>
      <c r="H4" s="4" t="n">
        <f aca="false">IF(E4&gt;=50,1,0)</f>
        <v>1</v>
      </c>
    </row>
    <row r="5" customFormat="false" ht="15" hidden="false" customHeight="false" outlineLevel="0" collapsed="false">
      <c r="A5" s="4" t="n">
        <v>4</v>
      </c>
      <c r="B5" s="4" t="s">
        <v>7</v>
      </c>
      <c r="C5" s="4" t="s">
        <v>14</v>
      </c>
      <c r="D5" s="4" t="s">
        <v>15</v>
      </c>
      <c r="E5" s="4" t="n">
        <v>38</v>
      </c>
      <c r="F5" s="4" t="n">
        <v>60</v>
      </c>
      <c r="G5" s="4" t="str">
        <f aca="false">INDEX(Lookup!$C$2:$C$5,MATCH(C5,Lookup!$A$2:$A$5,0))</f>
        <v>Technology</v>
      </c>
      <c r="H5" s="4" t="n">
        <f aca="false">IF(E5&gt;=50,1,0)</f>
        <v>0</v>
      </c>
      <c r="J5" s="5" t="s">
        <v>30</v>
      </c>
    </row>
    <row r="6" customFormat="false" ht="15" hidden="false" customHeight="false" outlineLevel="0" collapsed="false">
      <c r="A6" s="4" t="n">
        <v>5</v>
      </c>
      <c r="B6" s="4" t="s">
        <v>16</v>
      </c>
      <c r="C6" s="4" t="s">
        <v>8</v>
      </c>
      <c r="D6" s="4" t="s">
        <v>12</v>
      </c>
      <c r="E6" s="4" t="n">
        <v>80</v>
      </c>
      <c r="F6" s="4" t="n">
        <v>95</v>
      </c>
      <c r="G6" s="4" t="str">
        <f aca="false">INDEX(Lookup!$C$2:$C$5,MATCH(C6,Lookup!$A$2:$A$5,0))</f>
        <v>Business</v>
      </c>
      <c r="H6" s="4" t="n">
        <f aca="false">IF(E6&gt;=50,1,0)</f>
        <v>1</v>
      </c>
    </row>
    <row r="7" customFormat="false" ht="15" hidden="false" customHeight="false" outlineLevel="0" collapsed="false">
      <c r="A7" s="4" t="n">
        <v>6</v>
      </c>
      <c r="B7" s="4" t="s">
        <v>16</v>
      </c>
      <c r="C7" s="4" t="s">
        <v>11</v>
      </c>
      <c r="D7" s="4" t="s">
        <v>15</v>
      </c>
      <c r="E7" s="4" t="n">
        <v>55</v>
      </c>
      <c r="F7" s="4" t="n">
        <v>80</v>
      </c>
      <c r="G7" s="4" t="str">
        <f aca="false">INDEX(Lookup!$C$2:$C$5,MATCH(C7,Lookup!$A$2:$A$5,0))</f>
        <v>Business</v>
      </c>
      <c r="H7" s="4" t="n">
        <f aca="false">IF(E7&gt;=50,1,0)</f>
        <v>1</v>
      </c>
    </row>
    <row r="8" customFormat="false" ht="15" hidden="false" customHeight="false" outlineLevel="0" collapsed="false">
      <c r="A8" s="4" t="n">
        <v>7</v>
      </c>
      <c r="B8" s="4" t="s">
        <v>16</v>
      </c>
      <c r="C8" s="4" t="s">
        <v>13</v>
      </c>
      <c r="D8" s="4" t="s">
        <v>9</v>
      </c>
      <c r="E8" s="4" t="n">
        <v>48</v>
      </c>
      <c r="F8" s="4" t="n">
        <v>75</v>
      </c>
      <c r="G8" s="4" t="str">
        <f aca="false">INDEX(Lookup!$C$2:$C$5,MATCH(C8,Lookup!$A$2:$A$5,0))</f>
        <v>Technology</v>
      </c>
      <c r="H8" s="4" t="n">
        <f aca="false">IF(E8&gt;=50,1,0)</f>
        <v>0</v>
      </c>
    </row>
    <row r="9" customFormat="false" ht="15" hidden="false" customHeight="false" outlineLevel="0" collapsed="false">
      <c r="A9" s="4" t="n">
        <v>8</v>
      </c>
      <c r="B9" s="4" t="s">
        <v>16</v>
      </c>
      <c r="C9" s="4" t="s">
        <v>14</v>
      </c>
      <c r="D9" s="4" t="s">
        <v>12</v>
      </c>
      <c r="E9" s="4" t="n">
        <v>68</v>
      </c>
      <c r="F9" s="4" t="n">
        <v>88</v>
      </c>
      <c r="G9" s="4" t="str">
        <f aca="false">INDEX(Lookup!$C$2:$C$5,MATCH(C9,Lookup!$A$2:$A$5,0))</f>
        <v>Technology</v>
      </c>
      <c r="H9" s="4" t="n">
        <f aca="false">IF(E9&gt;=50,1,0)</f>
        <v>1</v>
      </c>
    </row>
    <row r="10" customFormat="false" ht="15" hidden="false" customHeight="false" outlineLevel="0" collapsed="false">
      <c r="A10" s="4" t="n">
        <v>9</v>
      </c>
      <c r="B10" s="4" t="s">
        <v>17</v>
      </c>
      <c r="C10" s="4" t="s">
        <v>8</v>
      </c>
      <c r="D10" s="4" t="s">
        <v>15</v>
      </c>
      <c r="E10" s="4" t="n">
        <v>90</v>
      </c>
      <c r="F10" s="4" t="n">
        <v>98</v>
      </c>
      <c r="G10" s="4" t="str">
        <f aca="false">INDEX(Lookup!$C$2:$C$5,MATCH(C10,Lookup!$A$2:$A$5,0))</f>
        <v>Business</v>
      </c>
      <c r="H10" s="4" t="n">
        <f aca="false">IF(E10&gt;=50,1,0)</f>
        <v>1</v>
      </c>
    </row>
    <row r="11" customFormat="false" ht="15" hidden="false" customHeight="false" outlineLevel="0" collapsed="false">
      <c r="A11" s="4" t="n">
        <v>10</v>
      </c>
      <c r="B11" s="4" t="s">
        <v>17</v>
      </c>
      <c r="C11" s="4" t="s">
        <v>11</v>
      </c>
      <c r="D11" s="4" t="s">
        <v>9</v>
      </c>
      <c r="E11" s="4" t="n">
        <v>60</v>
      </c>
      <c r="F11" s="4" t="n">
        <v>82</v>
      </c>
      <c r="G11" s="4" t="str">
        <f aca="false">INDEX(Lookup!$C$2:$C$5,MATCH(C11,Lookup!$A$2:$A$5,0))</f>
        <v>Business</v>
      </c>
      <c r="H11" s="4" t="n">
        <f aca="false">IF(E11&gt;=50,1,0)</f>
        <v>1</v>
      </c>
    </row>
    <row r="12" customFormat="false" ht="15" hidden="false" customHeight="false" outlineLevel="0" collapsed="false">
      <c r="A12" s="4" t="n">
        <v>11</v>
      </c>
      <c r="B12" s="4" t="s">
        <v>17</v>
      </c>
      <c r="C12" s="4" t="s">
        <v>13</v>
      </c>
      <c r="D12" s="4" t="s">
        <v>12</v>
      </c>
      <c r="E12" s="4" t="n">
        <v>75</v>
      </c>
      <c r="F12" s="4" t="n">
        <v>92</v>
      </c>
      <c r="G12" s="4" t="str">
        <f aca="false">INDEX(Lookup!$C$2:$C$5,MATCH(C12,Lookup!$A$2:$A$5,0))</f>
        <v>Technology</v>
      </c>
      <c r="H12" s="4" t="n">
        <f aca="false">IF(E12&gt;=50,1,0)</f>
        <v>1</v>
      </c>
    </row>
    <row r="13" customFormat="false" ht="15" hidden="false" customHeight="false" outlineLevel="0" collapsed="false">
      <c r="A13" s="4" t="n">
        <v>12</v>
      </c>
      <c r="B13" s="4" t="s">
        <v>17</v>
      </c>
      <c r="C13" s="4" t="s">
        <v>14</v>
      </c>
      <c r="D13" s="4" t="s">
        <v>15</v>
      </c>
      <c r="E13" s="4" t="n">
        <v>42</v>
      </c>
      <c r="F13" s="4" t="n">
        <v>65</v>
      </c>
      <c r="G13" s="4" t="str">
        <f aca="false">INDEX(Lookup!$C$2:$C$5,MATCH(C13,Lookup!$A$2:$A$5,0))</f>
        <v>Technology</v>
      </c>
      <c r="H13" s="4" t="n">
        <f aca="false">IF(E13&gt;=50,1,0)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7" t="s">
        <v>31</v>
      </c>
    </row>
    <row r="3" customFormat="false" ht="15" hidden="false" customHeight="false" outlineLevel="0" collapsed="false">
      <c r="A3" s="2" t="s">
        <v>32</v>
      </c>
    </row>
    <row r="4" customFormat="false" ht="15" hidden="false" customHeight="false" outlineLevel="0" collapsed="false">
      <c r="A4" s="1" t="s">
        <v>3</v>
      </c>
      <c r="B4" s="1" t="s">
        <v>33</v>
      </c>
      <c r="D4" s="2" t="s">
        <v>34</v>
      </c>
      <c r="E4" s="8" t="n">
        <f aca="false">B8/COUNTA(Clean!A2:A13)</f>
        <v>0.666666666666667</v>
      </c>
    </row>
    <row r="5" customFormat="false" ht="15" hidden="false" customHeight="false" outlineLevel="0" collapsed="false">
      <c r="A5" s="4" t="s">
        <v>9</v>
      </c>
      <c r="B5" s="4" t="n">
        <f aca="false">COUNTIFS(Clean!$D$2:$D$13,A5,Clean!$H$2:$H$13,1)</f>
        <v>3</v>
      </c>
    </row>
    <row r="6" customFormat="false" ht="15" hidden="false" customHeight="false" outlineLevel="0" collapsed="false">
      <c r="A6" s="4" t="s">
        <v>12</v>
      </c>
      <c r="B6" s="4" t="n">
        <f aca="false">COUNTIFS(Clean!$D$2:$D$13,A6,Clean!$H$2:$H$13,1)</f>
        <v>3</v>
      </c>
    </row>
    <row r="7" customFormat="false" ht="15" hidden="false" customHeight="false" outlineLevel="0" collapsed="false">
      <c r="A7" s="4" t="s">
        <v>15</v>
      </c>
      <c r="B7" s="4" t="n">
        <f aca="false">COUNTIFS(Clean!$D$2:$D$13,A7,Clean!$H$2:$H$13,1)</f>
        <v>2</v>
      </c>
    </row>
    <row r="8" customFormat="false" ht="15" hidden="false" customHeight="false" outlineLevel="0" collapsed="false">
      <c r="A8" s="9" t="s">
        <v>35</v>
      </c>
      <c r="B8" s="9" t="n">
        <f aca="false">SUM(B5:B7)</f>
        <v>8</v>
      </c>
    </row>
    <row r="11" customFormat="false" ht="15" hidden="false" customHeight="false" outlineLevel="0" collapsed="false">
      <c r="A11" s="2" t="s">
        <v>36</v>
      </c>
    </row>
    <row r="12" customFormat="false" ht="15" hidden="false" customHeight="false" outlineLevel="0" collapsed="false">
      <c r="A12" s="1" t="s">
        <v>19</v>
      </c>
      <c r="B12" s="1" t="s">
        <v>7</v>
      </c>
      <c r="C12" s="1" t="s">
        <v>16</v>
      </c>
      <c r="D12" s="1" t="s">
        <v>17</v>
      </c>
      <c r="E12" s="1" t="s">
        <v>37</v>
      </c>
    </row>
    <row r="13" customFormat="false" ht="15" hidden="false" customHeight="false" outlineLevel="0" collapsed="false">
      <c r="A13" s="4" t="s">
        <v>21</v>
      </c>
      <c r="B13" s="10" t="n">
        <f aca="false">AVERAGEIFS(Clean!$E$2:$E$13,Clean!$G$2:$G$13,$A13,Clean!$B$2:$B$13,B$12)</f>
        <v>58.5</v>
      </c>
      <c r="C13" s="10" t="n">
        <f aca="false">AVERAGEIFS(Clean!$E$2:$E$13,Clean!$G$2:$G$13,$A13,Clean!$B$2:$B$13,C$12)</f>
        <v>67.5</v>
      </c>
      <c r="D13" s="10" t="n">
        <f aca="false">AVERAGEIFS(Clean!$E$2:$E$13,Clean!$G$2:$G$13,$A13,Clean!$B$2:$B$13,D$12)</f>
        <v>75</v>
      </c>
      <c r="E13" s="10" t="n">
        <f aca="false">AVERAGEIFS(Clean!$E$2:$E$13,Clean!$G$2:$G$13,$A13)</f>
        <v>67</v>
      </c>
    </row>
    <row r="14" customFormat="false" ht="15" hidden="false" customHeight="false" outlineLevel="0" collapsed="false">
      <c r="A14" s="4" t="s">
        <v>24</v>
      </c>
      <c r="B14" s="10" t="n">
        <f aca="false">AVERAGEIFS(Clean!$E$2:$E$13,Clean!$G$2:$G$13,$A14,Clean!$B$2:$B$13,B$12)</f>
        <v>51.5</v>
      </c>
      <c r="C14" s="10" t="n">
        <f aca="false">AVERAGEIFS(Clean!$E$2:$E$13,Clean!$G$2:$G$13,$A14,Clean!$B$2:$B$13,C$12)</f>
        <v>58</v>
      </c>
      <c r="D14" s="10" t="n">
        <f aca="false">AVERAGEIFS(Clean!$E$2:$E$13,Clean!$G$2:$G$13,$A14,Clean!$B$2:$B$13,D$12)</f>
        <v>58.5</v>
      </c>
      <c r="E14" s="10" t="n">
        <f aca="false">AVERAGEIFS(Clean!$E$2:$E$13,Clean!$G$2:$G$13,$A14)</f>
        <v>56</v>
      </c>
    </row>
    <row r="15" customFormat="false" ht="15" hidden="false" customHeight="false" outlineLevel="0" collapsed="false">
      <c r="A15" s="9" t="s">
        <v>37</v>
      </c>
      <c r="B15" s="11" t="n">
        <f aca="false">AVERAGEIFS(Clean!$E$2:$E$13,Clean!$B$2:$B$13,B$12)</f>
        <v>55</v>
      </c>
      <c r="C15" s="11" t="n">
        <f aca="false">AVERAGEIFS(Clean!$E$2:$E$13,Clean!$B$2:$B$13,C$12)</f>
        <v>62.75</v>
      </c>
      <c r="D15" s="11" t="n">
        <f aca="false">AVERAGEIFS(Clean!$E$2:$E$13,Clean!$B$2:$B$13,D$12)</f>
        <v>66.75</v>
      </c>
      <c r="E15" s="11" t="n">
        <f aca="false">AVERAGE(Clean!$E$2:$E$13)</f>
        <v>61.5</v>
      </c>
    </row>
    <row r="17" customFormat="false" ht="15" hidden="false" customHeight="false" outlineLevel="0" collapsed="false">
      <c r="A17" s="5" t="s">
        <v>38</v>
      </c>
    </row>
    <row r="18" customFormat="false" ht="15" hidden="false" customHeight="false" outlineLevel="0" collapsed="false">
      <c r="A18" s="1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2026-09-24T11:13:52Z</dcterms:created>
  <dc:creator>openpyxl</dc:creator>
  <dc:description/>
  <dc:language>en-US</dc:language>
  <cp:lastModifiedBy/>
  <dcterms:modified xsi:type="dcterms:W3CDTF">2026-09-24T11:13:54Z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